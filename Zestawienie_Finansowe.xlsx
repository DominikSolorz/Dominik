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 roczna" sheetId="2" state="visible" r:id="rId2"/>
  </sheets>
  <definedNames>
    <definedName name="_xlnm.Print_Titles" localSheetId="0">'Podsumowanie'!$1:$5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.00 &quot;zł&quot;"/>
    <numFmt numFmtId="166" formatCode="0.0%"/>
    <numFmt numFmtId="167" formatCode="#,##0.00 &quot;zł&quot;;[Red](#,##0.00) &quot;zł&quot;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4E79"/>
      <sz val="10"/>
    </font>
    <font>
      <name val="Arial"/>
      <color rgb="00000000"/>
      <sz val="11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color rgb="000070C0"/>
      <sz val="11"/>
    </font>
    <font>
      <name val="Arial"/>
      <color rgb="00595959"/>
      <sz val="10"/>
    </font>
    <font>
      <name val="Arial"/>
      <b val="1"/>
      <color rgb="00375623"/>
      <sz val="12"/>
    </font>
    <font>
      <name val="Arial"/>
      <b val="1"/>
      <color rgb="00375623"/>
      <sz val="13"/>
    </font>
    <font>
      <name val="Arial"/>
      <b val="1"/>
      <color rgb="00FFFFFF"/>
      <sz val="10"/>
    </font>
    <font>
      <name val="Arial"/>
      <b val="1"/>
      <color rgb="00C00000"/>
      <sz val="12"/>
    </font>
    <font>
      <name val="Arial"/>
      <b val="1"/>
      <color rgb="00C00000"/>
      <sz val="13"/>
    </font>
    <font>
      <name val="Arial"/>
      <b val="1"/>
      <color rgb="00FFFFFF"/>
      <sz val="14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375623"/>
      <sz val="10"/>
    </font>
    <font>
      <name val="Arial"/>
      <b val="1"/>
      <color rgb="00C00000"/>
      <sz val="10"/>
    </font>
    <font>
      <name val="Arial"/>
      <color rgb="000070C0"/>
      <sz val="10"/>
    </font>
    <font>
      <name val="Arial"/>
      <b val="1"/>
      <color rgb="00375623"/>
      <sz val="11"/>
    </font>
    <font>
      <name val="Arial"/>
      <b val="1"/>
      <color rgb="00C00000"/>
      <sz val="11"/>
    </font>
    <font>
      <name val="Arial"/>
      <b val="1"/>
      <color rgb="001F4E79"/>
      <sz val="12"/>
    </font>
    <font>
      <name val="Arial"/>
      <b val="1"/>
      <color rgb="00BF9000"/>
      <sz val="10"/>
    </font>
    <font>
      <name val="Arial"/>
      <color rgb="00BF9000"/>
      <sz val="10"/>
    </font>
    <font>
      <name val="Arial"/>
      <b val="1"/>
      <color rgb="00BF9000"/>
      <sz val="11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C00000"/>
      </patternFill>
    </fill>
    <fill>
      <patternFill patternType="solid">
        <fgColor rgb="00BF9000"/>
      </patternFill>
    </fill>
  </fills>
  <borders count="3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164" fontId="3" fillId="4" borderId="2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3" fillId="7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left" vertical="center"/>
    </xf>
    <xf numFmtId="165" fontId="7" fillId="4" borderId="2" applyAlignment="1" pivotButton="0" quotePrefix="0" xfId="0">
      <alignment horizontal="right" vertical="center"/>
    </xf>
    <xf numFmtId="166" fontId="8" fillId="3" borderId="2" applyAlignment="1" pivotButton="0" quotePrefix="0" xfId="0">
      <alignment horizontal="center" vertical="center"/>
    </xf>
    <xf numFmtId="0" fontId="3" fillId="8" borderId="2" applyAlignment="1" pivotButton="0" quotePrefix="0" xfId="0">
      <alignment horizontal="left" vertical="center"/>
    </xf>
    <xf numFmtId="166" fontId="8" fillId="8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165" fontId="10" fillId="10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167" fontId="13" fillId="11" borderId="1" applyAlignment="1" pivotButton="0" quotePrefix="0" xfId="0">
      <alignment horizontal="right" vertical="center"/>
    </xf>
    <xf numFmtId="0" fontId="11" fillId="1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167" fontId="14" fillId="2" borderId="1" applyAlignment="1" pivotButton="0" quotePrefix="0" xfId="0">
      <alignment horizontal="right" vertical="center"/>
    </xf>
    <xf numFmtId="166" fontId="15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16" fillId="7" borderId="0" applyAlignment="1" pivotButton="0" quotePrefix="0" xfId="0">
      <alignment horizontal="right" vertical="center"/>
    </xf>
    <xf numFmtId="0" fontId="17" fillId="7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right" vertical="center"/>
    </xf>
    <xf numFmtId="0" fontId="18" fillId="8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left" vertical="center"/>
    </xf>
    <xf numFmtId="165" fontId="19" fillId="4" borderId="2" applyAlignment="1" pivotButton="0" quotePrefix="0" xfId="0">
      <alignment horizontal="right" vertical="center"/>
    </xf>
    <xf numFmtId="165" fontId="20" fillId="10" borderId="1" applyAlignment="1" pivotButton="0" quotePrefix="0" xfId="0">
      <alignment horizontal="right" vertical="center"/>
    </xf>
    <xf numFmtId="0" fontId="18" fillId="8" borderId="1" applyAlignment="1" pivotButton="0" quotePrefix="0" xfId="0">
      <alignment horizontal="left" vertical="center"/>
    </xf>
    <xf numFmtId="165" fontId="21" fillId="11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165" fontId="2" fillId="3" borderId="2" applyAlignment="1" pivotButton="0" quotePrefix="0" xfId="0">
      <alignment horizontal="right" vertical="center"/>
    </xf>
    <xf numFmtId="165" fontId="22" fillId="3" borderId="1" applyAlignment="1" pivotButton="0" quotePrefix="0" xfId="0">
      <alignment horizontal="right" vertical="center"/>
    </xf>
    <xf numFmtId="0" fontId="23" fillId="4" borderId="1" applyAlignment="1" pivotButton="0" quotePrefix="0" xfId="0">
      <alignment horizontal="left" vertical="center"/>
    </xf>
    <xf numFmtId="166" fontId="24" fillId="4" borderId="2" applyAlignment="1" pivotButton="0" quotePrefix="0" xfId="0">
      <alignment horizontal="right" vertical="center"/>
    </xf>
    <xf numFmtId="166" fontId="25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name val="Arial"/>
        <b val="1"/>
        <color rgb="00375623"/>
        <sz val="14"/>
      </font>
      <fill>
        <patternFill patternType="solid">
          <fgColor rgb="00C6EFCE"/>
        </patternFill>
      </fill>
    </dxf>
    <dxf>
      <font>
        <name val="Arial"/>
        <b val="1"/>
        <color rgb="00C00000"/>
        <sz val="14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8" customWidth="1" min="2" max="2"/>
    <col width="18" customWidth="1" min="3" max="3"/>
    <col width="12" customWidth="1" min="4" max="4"/>
    <col width="28" customWidth="1" min="5" max="5"/>
    <col width="18" customWidth="1" min="6" max="6"/>
    <col width="12" customWidth="1" min="7" max="7"/>
  </cols>
  <sheetData>
    <row r="1" ht="42" customHeight="1">
      <c r="A1" s="1" t="inlineStr">
        <is>
          <t>📊  ZESTAWIENIE FINANSOWE  —  PRZYCHODY &amp; WYDATKI</t>
        </is>
      </c>
    </row>
    <row r="2" ht="22" customHeight="1">
      <c r="A2" s="2" t="inlineStr">
        <is>
          <t>Miesiąc / Rok:</t>
        </is>
      </c>
      <c r="D2" s="3" t="n"/>
      <c r="E2" s="4" t="inlineStr">
        <is>
          <t>Sporządził: ________________________________</t>
        </is>
      </c>
    </row>
    <row r="3" ht="14" customHeight="1">
      <c r="A3" s="5" t="inlineStr"/>
    </row>
    <row r="4" ht="30" customHeight="1">
      <c r="A4" s="6" t="inlineStr">
        <is>
          <t>Nr</t>
        </is>
      </c>
      <c r="B4" s="7" t="inlineStr">
        <is>
          <t>PRZYCHODY  —  opis</t>
        </is>
      </c>
      <c r="C4" s="8" t="inlineStr">
        <is>
          <t>Kwota (PLN)</t>
        </is>
      </c>
      <c r="D4" s="9" t="inlineStr">
        <is>
          <t>Udział %</t>
        </is>
      </c>
      <c r="E4" s="7" t="inlineStr">
        <is>
          <t>WYDATKI  —  opis</t>
        </is>
      </c>
      <c r="F4" s="8" t="inlineStr">
        <is>
          <t>Kwota (PLN)</t>
        </is>
      </c>
      <c r="G4" s="9" t="inlineStr">
        <is>
          <t>Udział %</t>
        </is>
      </c>
    </row>
    <row r="5" ht="22" customHeight="1">
      <c r="A5" s="10" t="inlineStr"/>
      <c r="B5" s="11" t="inlineStr">
        <is>
          <t>Nazwa / kategoria</t>
        </is>
      </c>
      <c r="C5" s="10" t="inlineStr">
        <is>
          <t>Wartość w zł</t>
        </is>
      </c>
      <c r="D5" s="10" t="inlineStr">
        <is>
          <t>% całości</t>
        </is>
      </c>
      <c r="E5" s="11" t="inlineStr">
        <is>
          <t>Nazwa / kategoria</t>
        </is>
      </c>
      <c r="F5" s="10" t="inlineStr">
        <is>
          <t>Wartość w zł</t>
        </is>
      </c>
      <c r="G5" s="10" t="inlineStr">
        <is>
          <t>% całości</t>
        </is>
      </c>
    </row>
    <row r="6" ht="20" customHeight="1">
      <c r="A6" s="12" t="inlineStr">
        <is>
          <t>01.</t>
        </is>
      </c>
      <c r="B6" s="13" t="inlineStr">
        <is>
          <t>Sprzedaż produktów</t>
        </is>
      </c>
      <c r="C6" s="14" t="n">
        <v>0</v>
      </c>
      <c r="D6" s="15">
        <f>IF(C22=0,0,C6/C22)</f>
        <v/>
      </c>
      <c r="E6" s="16" t="inlineStr">
        <is>
          <t>Wynagrodzenia i ZUS</t>
        </is>
      </c>
      <c r="F6" s="14" t="n">
        <v>0</v>
      </c>
      <c r="G6" s="17">
        <f>IF(F22=0,0,F6/ABS(F22))</f>
        <v/>
      </c>
    </row>
    <row r="7" ht="20" customHeight="1">
      <c r="A7" s="18" t="inlineStr">
        <is>
          <t>02.</t>
        </is>
      </c>
      <c r="B7" s="19" t="inlineStr">
        <is>
          <t>Świadczenie usług</t>
        </is>
      </c>
      <c r="C7" s="14" t="n">
        <v>0</v>
      </c>
      <c r="D7" s="15">
        <f>IF(C22=0,0,C7/C22)</f>
        <v/>
      </c>
      <c r="E7" s="19" t="inlineStr">
        <is>
          <t>Czynsz i media</t>
        </is>
      </c>
      <c r="F7" s="14" t="n">
        <v>0</v>
      </c>
      <c r="G7" s="17">
        <f>IF(F22=0,0,F7/ABS(F22))</f>
        <v/>
      </c>
    </row>
    <row r="8" ht="20" customHeight="1">
      <c r="A8" s="12" t="inlineStr">
        <is>
          <t>03.</t>
        </is>
      </c>
      <c r="B8" s="13" t="inlineStr">
        <is>
          <t>Wynajem nieruchomości</t>
        </is>
      </c>
      <c r="C8" s="14" t="n">
        <v>0</v>
      </c>
      <c r="D8" s="15">
        <f>IF(C22=0,0,C8/C22)</f>
        <v/>
      </c>
      <c r="E8" s="16" t="inlineStr">
        <is>
          <t>Materiały / surowce</t>
        </is>
      </c>
      <c r="F8" s="14" t="n">
        <v>0</v>
      </c>
      <c r="G8" s="17">
        <f>IF(F22=0,0,F8/ABS(F22))</f>
        <v/>
      </c>
    </row>
    <row r="9" ht="20" customHeight="1">
      <c r="A9" s="18" t="inlineStr">
        <is>
          <t>04.</t>
        </is>
      </c>
      <c r="B9" s="19" t="inlineStr">
        <is>
          <t>Przychody finansowe</t>
        </is>
      </c>
      <c r="C9" s="14" t="n">
        <v>0</v>
      </c>
      <c r="D9" s="15">
        <f>IF(C22=0,0,C9/C22)</f>
        <v/>
      </c>
      <c r="E9" s="19" t="inlineStr">
        <is>
          <t>Usługi zewnętrzne</t>
        </is>
      </c>
      <c r="F9" s="14" t="n">
        <v>0</v>
      </c>
      <c r="G9" s="17">
        <f>IF(F22=0,0,F9/ABS(F22))</f>
        <v/>
      </c>
    </row>
    <row r="10" ht="20" customHeight="1">
      <c r="A10" s="12" t="inlineStr">
        <is>
          <t>05.</t>
        </is>
      </c>
      <c r="B10" s="13" t="inlineStr">
        <is>
          <t>Dotacje / dofinansowania</t>
        </is>
      </c>
      <c r="C10" s="14" t="n">
        <v>0</v>
      </c>
      <c r="D10" s="15">
        <f>IF(C22=0,0,C10/C22)</f>
        <v/>
      </c>
      <c r="E10" s="16" t="inlineStr">
        <is>
          <t>Marketing i reklama</t>
        </is>
      </c>
      <c r="F10" s="14" t="n">
        <v>0</v>
      </c>
      <c r="G10" s="17">
        <f>IF(F22=0,0,F10/ABS(F22))</f>
        <v/>
      </c>
    </row>
    <row r="11" ht="20" customHeight="1">
      <c r="A11" s="18" t="inlineStr">
        <is>
          <t>06.</t>
        </is>
      </c>
      <c r="B11" s="19" t="inlineStr">
        <is>
          <t>Sprzedaż majątku</t>
        </is>
      </c>
      <c r="C11" s="14" t="n">
        <v>0</v>
      </c>
      <c r="D11" s="15">
        <f>IF(C22=0,0,C11/C22)</f>
        <v/>
      </c>
      <c r="E11" s="19" t="inlineStr">
        <is>
          <t>Paliwo i transport</t>
        </is>
      </c>
      <c r="F11" s="14" t="n">
        <v>0</v>
      </c>
      <c r="G11" s="17">
        <f>IF(F22=0,0,F11/ABS(F22))</f>
        <v/>
      </c>
    </row>
    <row r="12" ht="20" customHeight="1">
      <c r="A12" s="12" t="inlineStr">
        <is>
          <t>07.</t>
        </is>
      </c>
      <c r="B12" s="13" t="inlineStr">
        <is>
          <t>Prowizje i bonusy</t>
        </is>
      </c>
      <c r="C12" s="14" t="n">
        <v>0</v>
      </c>
      <c r="D12" s="15">
        <f>IF(C22=0,0,C12/C22)</f>
        <v/>
      </c>
      <c r="E12" s="16" t="inlineStr">
        <is>
          <t>Sprzęt / wyposażenie</t>
        </is>
      </c>
      <c r="F12" s="14" t="n">
        <v>0</v>
      </c>
      <c r="G12" s="17">
        <f>IF(F22=0,0,F12/ABS(F22))</f>
        <v/>
      </c>
    </row>
    <row r="13" ht="20" customHeight="1">
      <c r="A13" s="18" t="inlineStr">
        <is>
          <t>08.</t>
        </is>
      </c>
      <c r="B13" s="19" t="inlineStr">
        <is>
          <t>Refundacje i zwroty</t>
        </is>
      </c>
      <c r="C13" s="14" t="n">
        <v>0</v>
      </c>
      <c r="D13" s="15">
        <f>IF(C22=0,0,C13/C22)</f>
        <v/>
      </c>
      <c r="E13" s="19" t="inlineStr">
        <is>
          <t>Ubezpieczenia</t>
        </is>
      </c>
      <c r="F13" s="14" t="n">
        <v>0</v>
      </c>
      <c r="G13" s="17">
        <f>IF(F22=0,0,F13/ABS(F22))</f>
        <v/>
      </c>
    </row>
    <row r="14" ht="20" customHeight="1">
      <c r="A14" s="12" t="inlineStr">
        <is>
          <t>09.</t>
        </is>
      </c>
      <c r="B14" s="13" t="inlineStr">
        <is>
          <t>Licencje / tantiemy</t>
        </is>
      </c>
      <c r="C14" s="14" t="n">
        <v>0</v>
      </c>
      <c r="D14" s="15">
        <f>IF(C22=0,0,C14/C22)</f>
        <v/>
      </c>
      <c r="E14" s="16" t="inlineStr">
        <is>
          <t>Podatki i opłaty</t>
        </is>
      </c>
      <c r="F14" s="14" t="n">
        <v>0</v>
      </c>
      <c r="G14" s="17">
        <f>IF(F22=0,0,F14/ABS(F22))</f>
        <v/>
      </c>
    </row>
    <row r="15" ht="20" customHeight="1">
      <c r="A15" s="18" t="inlineStr">
        <is>
          <t>10.</t>
        </is>
      </c>
      <c r="B15" s="19" t="inlineStr">
        <is>
          <t>Działalność dodatkowa</t>
        </is>
      </c>
      <c r="C15" s="14" t="n">
        <v>0</v>
      </c>
      <c r="D15" s="15">
        <f>IF(C22=0,0,C15/C22)</f>
        <v/>
      </c>
      <c r="E15" s="19" t="inlineStr">
        <is>
          <t>Szkolenia i rozwój</t>
        </is>
      </c>
      <c r="F15" s="14" t="n">
        <v>0</v>
      </c>
      <c r="G15" s="17">
        <f>IF(F22=0,0,F15/ABS(F22))</f>
        <v/>
      </c>
    </row>
    <row r="16" ht="20" customHeight="1">
      <c r="A16" s="12" t="inlineStr">
        <is>
          <t>11.</t>
        </is>
      </c>
      <c r="B16" s="13" t="inlineStr">
        <is>
          <t>Przychód wyjątkowy</t>
        </is>
      </c>
      <c r="C16" s="14" t="n">
        <v>0</v>
      </c>
      <c r="D16" s="15">
        <f>IF(C22=0,0,C16/C22)</f>
        <v/>
      </c>
      <c r="E16" s="16" t="inlineStr">
        <is>
          <t>Oprogramowanie / IT</t>
        </is>
      </c>
      <c r="F16" s="14" t="n">
        <v>0</v>
      </c>
      <c r="G16" s="17">
        <f>IF(F22=0,0,F16/ABS(F22))</f>
        <v/>
      </c>
    </row>
    <row r="17" ht="20" customHeight="1">
      <c r="A17" s="18" t="inlineStr">
        <is>
          <t>12.</t>
        </is>
      </c>
      <c r="B17" s="19" t="inlineStr">
        <is>
          <t>Zaliczki na poczet usług</t>
        </is>
      </c>
      <c r="C17" s="14" t="n">
        <v>0</v>
      </c>
      <c r="D17" s="15">
        <f>IF(C22=0,0,C17/C22)</f>
        <v/>
      </c>
      <c r="E17" s="19" t="inlineStr">
        <is>
          <t>Koszty finansowe (odsetki)</t>
        </is>
      </c>
      <c r="F17" s="14" t="n">
        <v>0</v>
      </c>
      <c r="G17" s="17">
        <f>IF(F22=0,0,F17/ABS(F22))</f>
        <v/>
      </c>
    </row>
    <row r="18" ht="20" customHeight="1">
      <c r="A18" s="12" t="inlineStr">
        <is>
          <t>13.</t>
        </is>
      </c>
      <c r="B18" s="13" t="inlineStr">
        <is>
          <t>Sprzedaż online</t>
        </is>
      </c>
      <c r="C18" s="14" t="n">
        <v>0</v>
      </c>
      <c r="D18" s="15">
        <f>IF(C22=0,0,C18/C22)</f>
        <v/>
      </c>
      <c r="E18" s="16" t="inlineStr">
        <is>
          <t>Naprawy i utrzymanie</t>
        </is>
      </c>
      <c r="F18" s="14" t="n">
        <v>0</v>
      </c>
      <c r="G18" s="17">
        <f>IF(F22=0,0,F18/ABS(F22))</f>
        <v/>
      </c>
    </row>
    <row r="19" ht="20" customHeight="1">
      <c r="A19" s="18" t="inlineStr">
        <is>
          <t>14.</t>
        </is>
      </c>
      <c r="B19" s="19" t="inlineStr">
        <is>
          <t>Subskrypcje</t>
        </is>
      </c>
      <c r="C19" s="14" t="n">
        <v>0</v>
      </c>
      <c r="D19" s="15">
        <f>IF(C22=0,0,C19/C22)</f>
        <v/>
      </c>
      <c r="E19" s="19" t="inlineStr">
        <is>
          <t>Artykuły biurowe</t>
        </is>
      </c>
      <c r="F19" s="14" t="n">
        <v>0</v>
      </c>
      <c r="G19" s="17">
        <f>IF(F22=0,0,F19/ABS(F22))</f>
        <v/>
      </c>
    </row>
    <row r="20" ht="20" customHeight="1">
      <c r="A20" s="12" t="inlineStr">
        <is>
          <t>15.</t>
        </is>
      </c>
      <c r="B20" s="13" t="inlineStr">
        <is>
          <t>Inne przychody</t>
        </is>
      </c>
      <c r="C20" s="14" t="n">
        <v>0</v>
      </c>
      <c r="D20" s="15">
        <f>IF(C22=0,0,C20/C22)</f>
        <v/>
      </c>
      <c r="E20" s="16" t="inlineStr">
        <is>
          <t>Inne wydatki</t>
        </is>
      </c>
      <c r="F20" s="14" t="n">
        <v>0</v>
      </c>
      <c r="G20" s="17">
        <f>IF(F22=0,0,F20/ABS(F22))</f>
        <v/>
      </c>
    </row>
    <row r="21" ht="6" customHeight="1">
      <c r="A21" s="5" t="inlineStr"/>
    </row>
    <row r="22" ht="30" customHeight="1">
      <c r="A22" s="20" t="inlineStr"/>
      <c r="B22" s="21" t="inlineStr">
        <is>
          <t>✅  SUMA PRZYCHODÓW</t>
        </is>
      </c>
      <c r="C22" s="22">
        <f>SUM(C6:C20)</f>
        <v/>
      </c>
      <c r="D22" s="23" t="inlineStr">
        <is>
          <t>100%</t>
        </is>
      </c>
      <c r="E22" s="24" t="inlineStr">
        <is>
          <t>❌  SUMA WYDATKÓW</t>
        </is>
      </c>
      <c r="F22" s="25">
        <f>-SUM(F6:F20)</f>
        <v/>
      </c>
      <c r="G22" s="26" t="inlineStr">
        <is>
          <t>100%</t>
        </is>
      </c>
    </row>
    <row r="23" ht="6" customHeight="1"/>
    <row r="24" ht="36" customHeight="1">
      <c r="A24" s="27" t="inlineStr">
        <is>
          <t>💰  WYNIK NETTO</t>
        </is>
      </c>
      <c r="C24" s="28">
        <f>C22+F22</f>
        <v/>
      </c>
      <c r="D24" s="9" t="inlineStr">
        <is>
          <t>Marża (%)</t>
        </is>
      </c>
      <c r="F24" s="29">
        <f>IF(C22=0,0,C24/C22)</f>
        <v/>
      </c>
      <c r="G24" s="30" t="inlineStr"/>
    </row>
    <row r="25" ht="20" customHeight="1">
      <c r="A25" s="31" t="inlineStr">
        <is>
          <t>Liczba aktywnych pozycji — przychody:</t>
        </is>
      </c>
      <c r="C25" s="32">
        <f>COUNTIF(C6:C20,"&gt;0")</f>
        <v/>
      </c>
      <c r="D25" s="33" t="inlineStr">
        <is>
          <t>Liczba aktywnych pozycji — wydatki:</t>
        </is>
      </c>
      <c r="F25" s="34">
        <f>COUNTIF(F6:F20,"&gt;0")</f>
        <v/>
      </c>
    </row>
    <row r="26" ht="28" customHeight="1"/>
    <row r="27" ht="8" customHeight="1"/>
    <row r="28" ht="18" customHeight="1">
      <c r="A28" s="35" t="inlineStr">
        <is>
          <t>🔵 Komórki NIEBIESKIE = wprowadź kwotę (PLN)   |   🟡 Żółte tło = pola do uzupełnienia   |   🟢 C22 = suma przychodów   |   🔴 F22 = suma wydatków (ujemna)   |   D2 = data okresu</t>
        </is>
      </c>
    </row>
    <row r="29" ht="22" customHeight="1"/>
  </sheetData>
  <mergeCells count="11">
    <mergeCell ref="D25:E25"/>
    <mergeCell ref="E2:G2"/>
    <mergeCell ref="A24:B24"/>
    <mergeCell ref="A1:G1"/>
    <mergeCell ref="D24:E24"/>
    <mergeCell ref="A25:B25"/>
    <mergeCell ref="A3:G3"/>
    <mergeCell ref="A21:G21"/>
    <mergeCell ref="G24"/>
    <mergeCell ref="A2:C2"/>
    <mergeCell ref="A28:G28"/>
  </mergeCells>
  <conditionalFormatting sqref="C2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36" t="inlineStr">
        <is>
          <t>📅  ZESTAWIENIE ROCZNE — PRZYCHODY / WYDATKI / WYNIK</t>
        </is>
      </c>
    </row>
    <row r="2" ht="22" customHeight="1">
      <c r="A2" s="37" t="inlineStr">
        <is>
          <t>Miesiąc</t>
        </is>
      </c>
      <c r="B2" s="23" t="inlineStr">
        <is>
          <t>Styczeń</t>
        </is>
      </c>
      <c r="C2" s="23" t="inlineStr">
        <is>
          <t>Luty</t>
        </is>
      </c>
      <c r="D2" s="23" t="inlineStr">
        <is>
          <t>Marzec</t>
        </is>
      </c>
      <c r="E2" s="23" t="inlineStr">
        <is>
          <t>Kwiecień</t>
        </is>
      </c>
      <c r="F2" s="23" t="inlineStr">
        <is>
          <t>Maj</t>
        </is>
      </c>
      <c r="G2" s="23" t="inlineStr">
        <is>
          <t>Czerwiec</t>
        </is>
      </c>
      <c r="H2" s="23" t="inlineStr">
        <is>
          <t>Lipiec</t>
        </is>
      </c>
      <c r="I2" s="23" t="inlineStr">
        <is>
          <t>Sierpień</t>
        </is>
      </c>
      <c r="J2" s="23" t="inlineStr">
        <is>
          <t>Wrzesień</t>
        </is>
      </c>
      <c r="K2" s="23" t="inlineStr">
        <is>
          <t>Październik</t>
        </is>
      </c>
      <c r="L2" s="23" t="inlineStr">
        <is>
          <t>Listopad</t>
        </is>
      </c>
      <c r="M2" s="23" t="inlineStr">
        <is>
          <t>Grudzień</t>
        </is>
      </c>
      <c r="N2" s="38" t="inlineStr">
        <is>
          <t>RAZEM</t>
        </is>
      </c>
    </row>
    <row r="3" ht="22" customHeight="1">
      <c r="A3" s="39" t="inlineStr">
        <is>
          <t>Przychody (PLN)</t>
        </is>
      </c>
      <c r="B3" s="40" t="n">
        <v>0</v>
      </c>
      <c r="C3" s="40" t="n">
        <v>0</v>
      </c>
      <c r="D3" s="40" t="n">
        <v>0</v>
      </c>
      <c r="E3" s="40" t="n">
        <v>0</v>
      </c>
      <c r="F3" s="40" t="n">
        <v>0</v>
      </c>
      <c r="G3" s="40" t="n">
        <v>0</v>
      </c>
      <c r="H3" s="40" t="n">
        <v>0</v>
      </c>
      <c r="I3" s="40" t="n">
        <v>0</v>
      </c>
      <c r="J3" s="40" t="n">
        <v>0</v>
      </c>
      <c r="K3" s="40" t="n">
        <v>0</v>
      </c>
      <c r="L3" s="40" t="n">
        <v>0</v>
      </c>
      <c r="M3" s="40" t="n">
        <v>0</v>
      </c>
      <c r="N3" s="41">
        <f>SUM(B3:M3)</f>
        <v/>
      </c>
    </row>
    <row r="4" ht="22" customHeight="1">
      <c r="A4" s="42" t="inlineStr">
        <is>
          <t>Wydatki (PLN)</t>
        </is>
      </c>
      <c r="B4" s="40" t="n">
        <v>0</v>
      </c>
      <c r="C4" s="40" t="n">
        <v>0</v>
      </c>
      <c r="D4" s="40" t="n">
        <v>0</v>
      </c>
      <c r="E4" s="40" t="n">
        <v>0</v>
      </c>
      <c r="F4" s="40" t="n">
        <v>0</v>
      </c>
      <c r="G4" s="40" t="n">
        <v>0</v>
      </c>
      <c r="H4" s="40" t="n">
        <v>0</v>
      </c>
      <c r="I4" s="40" t="n">
        <v>0</v>
      </c>
      <c r="J4" s="40" t="n">
        <v>0</v>
      </c>
      <c r="K4" s="40" t="n">
        <v>0</v>
      </c>
      <c r="L4" s="40" t="n">
        <v>0</v>
      </c>
      <c r="M4" s="40" t="n">
        <v>0</v>
      </c>
      <c r="N4" s="43">
        <f>SUM(B4:M4)</f>
        <v/>
      </c>
    </row>
    <row r="5" ht="22" customHeight="1">
      <c r="A5" s="44" t="inlineStr">
        <is>
          <t>Wynik netto (PLN)</t>
        </is>
      </c>
      <c r="B5" s="45">
        <f>B3-B4</f>
        <v/>
      </c>
      <c r="C5" s="45">
        <f>C3-C4</f>
        <v/>
      </c>
      <c r="D5" s="45">
        <f>D3-D4</f>
        <v/>
      </c>
      <c r="E5" s="45">
        <f>E3-E4</f>
        <v/>
      </c>
      <c r="F5" s="45">
        <f>F3-F4</f>
        <v/>
      </c>
      <c r="G5" s="45">
        <f>G3-G4</f>
        <v/>
      </c>
      <c r="H5" s="45">
        <f>H3-H4</f>
        <v/>
      </c>
      <c r="I5" s="45">
        <f>I3-I4</f>
        <v/>
      </c>
      <c r="J5" s="45">
        <f>J3-J4</f>
        <v/>
      </c>
      <c r="K5" s="45">
        <f>K3-K4</f>
        <v/>
      </c>
      <c r="L5" s="45">
        <f>L3-L4</f>
        <v/>
      </c>
      <c r="M5" s="45">
        <f>M3-M4</f>
        <v/>
      </c>
      <c r="N5" s="46">
        <f>N3-N4</f>
        <v/>
      </c>
    </row>
    <row r="6" ht="22" customHeight="1">
      <c r="A6" s="47" t="inlineStr">
        <is>
          <t>Marża (%)</t>
        </is>
      </c>
      <c r="B6" s="48">
        <f>IF(B3=0,0,B5/B3)</f>
        <v/>
      </c>
      <c r="C6" s="48">
        <f>IF(C3=0,0,C5/C3)</f>
        <v/>
      </c>
      <c r="D6" s="48">
        <f>IF(D3=0,0,D5/D3)</f>
        <v/>
      </c>
      <c r="E6" s="48">
        <f>IF(E3=0,0,E5/E3)</f>
        <v/>
      </c>
      <c r="F6" s="48">
        <f>IF(F3=0,0,F5/F3)</f>
        <v/>
      </c>
      <c r="G6" s="48">
        <f>IF(G3=0,0,G5/G3)</f>
        <v/>
      </c>
      <c r="H6" s="48">
        <f>IF(H3=0,0,H5/H3)</f>
        <v/>
      </c>
      <c r="I6" s="48">
        <f>IF(I3=0,0,I5/I3)</f>
        <v/>
      </c>
      <c r="J6" s="48">
        <f>IF(J3=0,0,J5/J3)</f>
        <v/>
      </c>
      <c r="K6" s="48">
        <f>IF(K3=0,0,K5/K3)</f>
        <v/>
      </c>
      <c r="L6" s="48">
        <f>IF(L3=0,0,L5/L3)</f>
        <v/>
      </c>
      <c r="M6" s="48">
        <f>IF(M3=0,0,M5/M3)</f>
        <v/>
      </c>
      <c r="N6" s="49">
        <f>IF(N3=0,0,N5/N3)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2026-09-09T12:48:42Z</dcterms:created>
  <dcterms:modified xsi:type="dcterms:W3CDTF">2026-09-09T12:48:43Z</dcterms:modified>
</cp:coreProperties>
</file>